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e Calculos" sheetId="1" r:id="rId4"/>
    <sheet state="visible" name="Graficos" sheetId="2" r:id="rId5"/>
    <sheet state="visible" name="Insights" sheetId="3" r:id="rId6"/>
  </sheets>
  <definedNames/>
  <calcPr/>
</workbook>
</file>

<file path=xl/sharedStrings.xml><?xml version="1.0" encoding="utf-8"?>
<sst xmlns="http://schemas.openxmlformats.org/spreadsheetml/2006/main" count="32" uniqueCount="32">
  <si>
    <t>M histórico</t>
  </si>
  <si>
    <t>Qual a probabilidade?</t>
  </si>
  <si>
    <t>Cadastros</t>
  </si>
  <si>
    <t>Cliente aprovado</t>
  </si>
  <si>
    <t>Primeira transação</t>
  </si>
  <si>
    <t>Cliente ativo 30 dias após 1ª transação:</t>
  </si>
  <si>
    <t>Taxa média de aprovação no KYC "Know Your Customer"</t>
  </si>
  <si>
    <t>Taxa média de primeira transação após KYC</t>
  </si>
  <si>
    <t>Cliente ativo 30 dias após 1ª transação</t>
  </si>
  <si>
    <t xml:space="preserve"> </t>
  </si>
  <si>
    <t>Calculos</t>
  </si>
  <si>
    <t>X Binomial (n=10000,p=0,72)</t>
  </si>
  <si>
    <t>Média</t>
  </si>
  <si>
    <t>Variância</t>
  </si>
  <si>
    <t>Desvio Padrão</t>
  </si>
  <si>
    <t>Intervalo superior esperado 95%</t>
  </si>
  <si>
    <t>Intervalo inferior esperado 95%</t>
  </si>
  <si>
    <t>Z</t>
  </si>
  <si>
    <t>Dentro do intervalo</t>
  </si>
  <si>
    <t>Fora</t>
  </si>
  <si>
    <t>Probabilidade acumulada</t>
  </si>
  <si>
    <t>Frequencia esperada</t>
  </si>
  <si>
    <t>Qual a probabilidade de um usuário que se cadastrou se tornar ativo em 30 dias?</t>
  </si>
  <si>
    <t>A queda nos pagamentos em dia é estatisticamente relevante ou pode ser explicada por variação natural?</t>
  </si>
  <si>
    <t xml:space="preserve">estatisticamente relevante </t>
  </si>
  <si>
    <t>Qual a probabilidade de ter menos de 760 clientes pagando em dia se a taxa histórica for 85%?</t>
  </si>
  <si>
    <t>Z ≈ -8 → evento extremamente improvável se a taxa histórica fosse 85%</t>
  </si>
  <si>
    <t>O risco de inadimplência está concentrado em algum segmento (idade, região, valor do empréstimo)?</t>
  </si>
  <si>
    <t xml:space="preserve">-- Segmentar clientes que pagaram ou não
SELECT
    age_group,
    region,
    COUNT(*) AS total_clients,
    SUM(CASE WHEN paid_on_time = 1 THEN 1 ELSE 0 END) AS paid_clients,
    SUM(CASE WHEN paid_on_time = 1 THEN 1 ELSE 0 END) * 1.0 / COUNT(*) AS on_time_rate
FROM loans
WHERE loan_date BETWEEN '2026-01-01' AND '2026-01-31'
GROUP BY age_group, region;
</t>
  </si>
  <si>
    <t>O time de produto deve ajustar critérios de aprovação ou a queda é normal?</t>
  </si>
  <si>
    <t>Qual seria o impacto financeiro se a taxa de pagamento cair para 80% no próximo mês?</t>
  </si>
  <si>
    <t xml:space="preserve">import numpy as np
# Simular 10.000 meses
n_clients = 950
p_on_time = 0.85
simulations = np.random.binomial(n_clients, p_on_time, size=10000)
# Probabilidade de &lt;= 760 clientes pagarem
prob = np.mean(simulations &lt;= 760)
print(f"Probabilidade de &lt;=760 clientes pagando: {prob:.4f}")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</si>
</sst>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R$ -416]#,##0.00"/>
    <numFmt numFmtId="166" formatCode="0.0000000%"/>
    <numFmt numFmtId="167" formatCode="0.00000000%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" numFmtId="9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166" xfId="0" applyFont="1" applyNumberFormat="1"/>
    <xf borderId="0" fillId="0" fontId="1" numFmtId="167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3" max="3" width="17.25"/>
    <col customWidth="1" min="5" max="5" width="15.13"/>
  </cols>
  <sheetData>
    <row r="1">
      <c r="B1" s="1" t="s">
        <v>0</v>
      </c>
      <c r="C1" s="2" t="s">
        <v>1</v>
      </c>
    </row>
    <row r="2">
      <c r="A2" s="2" t="s">
        <v>2</v>
      </c>
      <c r="B2" s="3">
        <v>10000.0</v>
      </c>
    </row>
    <row r="3">
      <c r="A3" s="2" t="s">
        <v>3</v>
      </c>
      <c r="B3" s="4">
        <f>B2*72%</f>
        <v>7200</v>
      </c>
      <c r="C3" s="2">
        <v>7400.0</v>
      </c>
      <c r="D3" s="2">
        <v>7000.0</v>
      </c>
    </row>
    <row r="4">
      <c r="A4" s="2" t="s">
        <v>4</v>
      </c>
      <c r="B4" s="4">
        <f>B3*55%</f>
        <v>3960</v>
      </c>
    </row>
    <row r="5">
      <c r="A5" s="2" t="s">
        <v>5</v>
      </c>
      <c r="B5" s="4">
        <f>B4*65%</f>
        <v>2574</v>
      </c>
      <c r="C5" s="5"/>
    </row>
    <row r="6">
      <c r="A6" s="2" t="s">
        <v>6</v>
      </c>
      <c r="B6" s="6">
        <v>0.72</v>
      </c>
      <c r="C6" s="5"/>
    </row>
    <row r="7">
      <c r="A7" s="2" t="s">
        <v>7</v>
      </c>
      <c r="B7" s="6">
        <v>0.55</v>
      </c>
      <c r="C7" s="5"/>
    </row>
    <row r="8">
      <c r="A8" s="2" t="s">
        <v>8</v>
      </c>
      <c r="B8" s="6">
        <v>0.65</v>
      </c>
      <c r="C8" s="7"/>
      <c r="D8" s="2" t="s">
        <v>9</v>
      </c>
    </row>
    <row r="9">
      <c r="A9" s="8"/>
      <c r="B9" s="7"/>
      <c r="C9" s="9"/>
    </row>
    <row r="10">
      <c r="B10" s="10"/>
    </row>
    <row r="11">
      <c r="A11" s="2" t="s">
        <v>10</v>
      </c>
      <c r="B11" s="10"/>
    </row>
    <row r="12">
      <c r="A12" s="2" t="s">
        <v>11</v>
      </c>
      <c r="B12" s="10"/>
    </row>
    <row r="13">
      <c r="A13" s="2" t="s">
        <v>12</v>
      </c>
      <c r="B13" s="10">
        <f>B2*B6</f>
        <v>7200</v>
      </c>
    </row>
    <row r="14">
      <c r="A14" s="2" t="s">
        <v>13</v>
      </c>
      <c r="B14" s="10">
        <f>(B13*(1-B6))</f>
        <v>2016</v>
      </c>
    </row>
    <row r="15">
      <c r="A15" s="2" t="s">
        <v>14</v>
      </c>
      <c r="B15" s="10">
        <f>SQRT(B14)</f>
        <v>44.89988864</v>
      </c>
    </row>
    <row r="16">
      <c r="A16" s="2" t="s">
        <v>15</v>
      </c>
      <c r="B16" s="10">
        <f>(2*B15)+B13</f>
        <v>7289.799777</v>
      </c>
    </row>
    <row r="17">
      <c r="A17" s="2" t="s">
        <v>16</v>
      </c>
      <c r="B17" s="10">
        <f>B13-(2*B15)</f>
        <v>7110.200223</v>
      </c>
    </row>
    <row r="18">
      <c r="B18" s="10"/>
    </row>
    <row r="19">
      <c r="A19" s="2" t="s">
        <v>17</v>
      </c>
      <c r="C19" s="11">
        <f>(7400-B13)/B15</f>
        <v>4.454354032</v>
      </c>
      <c r="D19" s="12">
        <f>(7000-B13)/B15</f>
        <v>-4.454354032</v>
      </c>
      <c r="E19" s="2" t="s">
        <v>18</v>
      </c>
      <c r="F19" s="2" t="s">
        <v>19</v>
      </c>
    </row>
    <row r="20">
      <c r="A20" s="2" t="s">
        <v>20</v>
      </c>
      <c r="C20" s="13">
        <v>4.299999999957116E-6</v>
      </c>
      <c r="D20" s="13">
        <v>4.299999999957116E-6</v>
      </c>
      <c r="E20" s="14">
        <f>1-D20-C20</f>
        <v>0.9999914</v>
      </c>
      <c r="F20" s="13">
        <f>D20+C20</f>
        <v>0.0000086</v>
      </c>
    </row>
    <row r="21">
      <c r="A21" s="2" t="s">
        <v>21</v>
      </c>
      <c r="C21" s="1">
        <f t="shared" ref="C21:D21" si="1">1/C20</f>
        <v>232558.1395</v>
      </c>
      <c r="D21" s="2">
        <f t="shared" si="1"/>
        <v>232558.1395</v>
      </c>
    </row>
    <row r="22">
      <c r="B22" s="10"/>
    </row>
    <row r="23">
      <c r="A23" s="2" t="s">
        <v>22</v>
      </c>
      <c r="B23" s="15">
        <f>B6*B7*B8</f>
        <v>0.2574</v>
      </c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5"/>
    <col customWidth="1" min="2" max="2" width="24.63"/>
  </cols>
  <sheetData>
    <row r="1">
      <c r="A1" s="2" t="s">
        <v>23</v>
      </c>
      <c r="B1" s="2" t="s">
        <v>24</v>
      </c>
    </row>
    <row r="3">
      <c r="A3" s="2" t="s">
        <v>25</v>
      </c>
      <c r="B3" s="2" t="s">
        <v>26</v>
      </c>
    </row>
    <row r="5">
      <c r="A5" s="2" t="s">
        <v>27</v>
      </c>
      <c r="B5" s="2" t="s">
        <v>28</v>
      </c>
    </row>
    <row r="7">
      <c r="A7" s="2" t="s">
        <v>29</v>
      </c>
    </row>
    <row r="9">
      <c r="A9" s="2" t="s">
        <v>30</v>
      </c>
      <c r="B9" s="2" t="s">
        <v>31</v>
      </c>
    </row>
  </sheetData>
  <drawing r:id="rId1"/>
</worksheet>
</file>